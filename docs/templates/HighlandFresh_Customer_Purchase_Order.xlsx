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c654f66a64dd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 Order" sheetId="1" r:id="R391a1f99e346424c"/>
    <sheet name="Product Catalog" sheetId="2" r:id="Rb118e6236b1e4192"/>
    <sheet name="System Data" sheetId="3" r:id="R77c2d5a32ae8437e" state="veryHidden"/>
  </sheets>
  <calcPr calcMode="auto" fullCalcOnLoad="1" forceFullCalc="1"/>
</workbook>
</file>

<file path=xl/comments1.xml><?xml version="1.0" encoding="utf-8"?>
<x:comments xmlns:x="http://schemas.openxmlformats.org/spreadsheetml/2006/main">
  <x:authors>
    <x:author>tc={038C7129-9FF4-2B1D-7AE8-64040C93D7DD}</x:author>
    <x:author>tc={97AA0B42-8AD8-7264-C190-386CCA030A10}</x:author>
    <x:author>tc={D7692364-FCFC-DE9A-0425-2CF709A60F70}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Enter the customer's official Purchase Order number.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Choose the requested delivery date.</x:t>
        </x:r>
      </x:text>
    </x:comment>
    <x:comment ref="A1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Select a Highland Fresh product from the dropdown.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m d, yyyy"/>
    <x:numFmt numFmtId="201" formatCode="0"/>
    <x:numFmt numFmtId="202" formatCode="&quot;₱&quot;#,##0.00"/>
    <x:numFmt numFmtId="203" formatCode="yyyy-mm-dd"/>
    <x:numFmt numFmtId="204" formatCode="0.00"/>
  </x:numFmts>
  <x:fonts count="15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85C37"/>
      <x:name val="Carlito"/>
    </x:font>
    <x:font>
      <x:sz val="10"/>
      <x:color rgb="FF1F2937"/>
      <x:name val="Carlito"/>
    </x:font>
    <x:font>
      <x:b/>
      <x:sz val="10"/>
      <x:color rgb="FF667085"/>
      <x:name val="Carlito"/>
    </x:font>
    <x:font>
      <x:b/>
      <x:sz val="10"/>
      <x:color rgb="FF1F2937"/>
      <x:name val="Carlito"/>
    </x:font>
    <x:font>
      <x:i/>
      <x:sz val="9"/>
      <x:color rgb="FF6B5310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1"/>
      <x:color rgb="FF185C37"/>
      <x:name val="Carlito"/>
    </x:font>
    <x:font>
      <x:sz val="9"/>
      <x:color rgb="FF667085"/>
      <x:name val="Carlito"/>
    </x:font>
    <x:font>
      <x:b/>
      <x:sz val="16"/>
      <x:color rgb="FFFFFFFF"/>
      <x:name val="Carlito"/>
    </x:font>
    <x:font>
      <x:i/>
      <x:sz val="9"/>
      <x:color rgb="FF667085"/>
      <x:name val="Carlito"/>
    </x:font>
    <x:font>
      <x:b/>
      <x:sz val="9"/>
      <x:color rgb="FFFFFFFF"/>
      <x:name val="Aptos"/>
    </x:font>
    <x:font>
      <x:sz val="9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85C37"/>
      </x:patternFill>
    </x:fill>
    <x:fill>
      <x:patternFill patternType="solid">
        <x:fgColor rgb="FFD9EFE1"/>
      </x:patternFill>
    </x:fill>
    <x:fill>
      <x:patternFill patternType="solid">
        <x:fgColor rgb="FFFFFFFF"/>
      </x:patternFill>
    </x:fill>
    <x:fill>
      <x:patternFill patternType="solid">
        <x:fgColor rgb="FFE2F3E8"/>
      </x:patternFill>
    </x:fill>
    <x:fill>
      <x:patternFill patternType="solid">
        <x:fgColor rgb="FFF5F7F6"/>
      </x:patternFill>
    </x:fill>
    <x:fill>
      <x:patternFill patternType="solid">
        <x:fgColor rgb="FFFFF8E1"/>
      </x:patternFill>
    </x:fill>
    <x:fill>
      <x:patternFill patternType="solid">
        <x:fgColor rgb="FFEAF6EE"/>
      </x:patternFill>
    </x:fill>
    <x:fill>
      <x:patternFill patternType="solid">
        <x:fgColor rgb="FF3F4B45"/>
      </x:patternFill>
    </x:fill>
  </x:fills>
  <x:borders count="19">
    <x:border/>
    <x:border>
      <x:left style="thin">
        <x:color rgb="FFD4DDD7"/>
      </x:left>
      <x:top style="thin">
        <x:color rgb="FFD4DDD7"/>
      </x:top>
    </x:border>
    <x:border>
      <x:right style="thin">
        <x:color rgb="FFD4DDD7"/>
      </x:right>
      <x:top style="thin">
        <x:color rgb="FFD4DDD7"/>
      </x:top>
    </x:border>
    <x:border>
      <x:left style="thin">
        <x:color rgb="FFD4DDD7"/>
      </x:left>
      <x:bottom style="thin">
        <x:color rgb="FFD4DDD7"/>
      </x:bottom>
    </x:border>
    <x:border>
      <x:right style="thin">
        <x:color rgb="FFD4DDD7"/>
      </x:right>
      <x:bottom style="thin">
        <x:color rgb="FFD4DDD7"/>
      </x:bottom>
    </x:border>
    <x:border>
      <x:left style="thin">
        <x:color rgb="FFD4DDD7"/>
      </x:left>
      <x:top style="thin">
        <x:color rgb="FFD4DDD7"/>
      </x:top>
      <x:bottom style="thin">
        <x:color rgb="FFD4DDD7"/>
      </x:bottom>
    </x:border>
    <x:border>
      <x:right style="thin">
        <x:color rgb="FFD4DDD7"/>
      </x:right>
      <x:top style="thin">
        <x:color rgb="FFD4DDD7"/>
      </x:top>
      <x:bottom style="thin">
        <x:color rgb="FFD4DDD7"/>
      </x:bottom>
    </x:border>
    <x:border>
      <x:top style="thin">
        <x:color rgb="FFD4DDD7"/>
      </x:top>
    </x:border>
    <x:border>
      <x:bottom style="thin">
        <x:color rgb="FFD4DDD7"/>
      </x:bottom>
    </x:border>
    <x:border>
      <x:left style="thin">
        <x:color rgb="FFE8D48B"/>
      </x:left>
      <x:top style="thin">
        <x:color rgb="FFE8D48B"/>
      </x:top>
      <x:bottom style="thin">
        <x:color rgb="FFE8D48B"/>
      </x:bottom>
    </x:border>
    <x:border>
      <x:top style="thin">
        <x:color rgb="FFE8D48B"/>
      </x:top>
      <x:bottom style="thin">
        <x:color rgb="FFE8D48B"/>
      </x:bottom>
    </x:border>
    <x:border>
      <x:right style="thin">
        <x:color rgb="FFE8D48B"/>
      </x:right>
      <x:top style="thin">
        <x:color rgb="FFE8D48B"/>
      </x:top>
      <x:bottom style="thin">
        <x:color rgb="FFE8D48B"/>
      </x:bottom>
    </x:border>
    <x:border>
      <x:right style="thin">
        <x:color rgb="FFA9C7B3"/>
      </x:right>
    </x:border>
    <x:border>
      <x:left style="thin">
        <x:color rgb="FFA9C7B3"/>
      </x:left>
      <x:right style="thin">
        <x:color rgb="FFA9C7B3"/>
      </x:right>
    </x:border>
    <x:border>
      <x:left style="thin">
        <x:color rgb="FFA9C7B3"/>
      </x:left>
    </x:border>
    <x:border>
      <x:top style="thin">
        <x:color rgb="FFD4DDD7"/>
      </x:top>
      <x:bottom style="thin">
        <x:color rgb="FFD4DDD7"/>
      </x:bottom>
    </x:border>
    <x:border>
      <x:left style="medium">
        <x:color rgb="FF2E7D4F"/>
      </x:left>
      <x:top style="medium">
        <x:color rgb="FF2E7D4F"/>
      </x:top>
      <x:bottom style="medium">
        <x:color rgb="FF2E7D4F"/>
      </x:bottom>
    </x:border>
    <x:border>
      <x:right style="medium">
        <x:color rgb="FF2E7D4F"/>
      </x:right>
      <x:top style="medium">
        <x:color rgb="FF2E7D4F"/>
      </x:top>
      <x:bottom style="medium">
        <x:color rgb="FF2E7D4F"/>
      </x:bottom>
    </x:border>
    <x:border>
      <x:top style="thin">
        <x:color rgb="FF1F2937"/>
      </x:top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200" fontId="3" fillId="5" borderId="3" xfId="0" applyNumberFormat="1" applyFont="1" applyFill="1" applyBorder="1"/>
    <x:xf numFmtId="0" fontId="3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3" fillId="6" borderId="1" xfId="0" applyNumberFormat="1" applyFont="1" applyFill="1" applyBorder="1"/>
    <x:xf numFmtId="0" fontId="3" fillId="6" borderId="7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8" xfId="0" applyNumberFormat="1" applyFont="1" applyFill="1" applyBorder="1"/>
    <x:xf numFmtId="0" fontId="3" fillId="6" borderId="4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7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8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9" xfId="0" applyNumberFormat="1" applyFont="1" applyFill="1" applyBorder="1" applyAlignment="1">
      <x:alignment vertical="center"/>
    </x:xf>
    <x:xf numFmtId="0" fontId="6" fillId="7" borderId="10" xfId="0" applyNumberFormat="1" applyFont="1" applyFill="1" applyBorder="1" applyAlignment="1">
      <x:alignment vertical="center"/>
    </x:xf>
    <x:xf numFmtId="0" fontId="6" fillId="7" borderId="1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2" xfId="0" applyNumberFormat="1" applyFont="1" applyFill="1" applyBorder="1"/>
    <x:xf numFmtId="0" fontId="7" fillId="2" borderId="13" xfId="0" applyNumberFormat="1" applyFont="1" applyFill="1" applyBorder="1"/>
    <x:xf numFmtId="0" fontId="7" fillId="2" borderId="14" xfId="0" applyNumberFormat="1" applyFont="1" applyFill="1" applyBorder="1"/>
    <x:xf numFmtId="0" fontId="7" fillId="2" borderId="12" xfId="0" applyNumberFormat="1" applyFont="1" applyFill="1" applyBorder="1" applyAlignment="1">
      <x:alignment wrapText="1"/>
    </x:xf>
    <x:xf numFmtId="0" fontId="7" fillId="2" borderId="13" xfId="0" applyNumberFormat="1" applyFont="1" applyFill="1" applyBorder="1" applyAlignment="1">
      <x:alignment wrapText="1"/>
    </x:xf>
    <x:xf numFmtId="0" fontId="7" fillId="2" borderId="14" xfId="0" applyNumberFormat="1" applyFont="1" applyFill="1" applyBorder="1" applyAlignment="1">
      <x:alignment wrapText="1"/>
    </x:xf>
    <x:xf numFmtId="0" fontId="7" fillId="2" borderId="12" xfId="0" applyNumberFormat="1" applyFont="1" applyFill="1" applyBorder="1" applyAlignment="1">
      <x:alignment horizontal="center" wrapText="1"/>
    </x:xf>
    <x:xf numFmtId="0" fontId="7" fillId="2" borderId="13" xfId="0" applyNumberFormat="1" applyFont="1" applyFill="1" applyBorder="1" applyAlignment="1">
      <x:alignment horizontal="center" wrapText="1"/>
    </x:xf>
    <x:xf numFmtId="0" fontId="7" fillId="2" borderId="14" xfId="0" applyNumberFormat="1" applyFont="1" applyFill="1" applyBorder="1" applyAlignment="1">
      <x:alignment horizontal="center" wrapText="1"/>
    </x:xf>
    <x:xf numFmtId="0" fontId="7" fillId="2" borderId="12" xfId="0" applyNumberFormat="1" applyFont="1" applyFill="1" applyBorder="1" applyAlignment="1">
      <x:alignment horizontal="center" vertical="center" wrapText="1"/>
    </x:xf>
    <x:xf numFmtId="0" fontId="7" fillId="2" borderId="13" xfId="0" applyNumberFormat="1" applyFont="1" applyFill="1" applyBorder="1" applyAlignment="1">
      <x:alignment horizontal="center" vertical="center" wrapText="1"/>
    </x:xf>
    <x:xf numFmtId="0" fontId="7" fillId="2" borderId="1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15" xfId="0" applyNumberFormat="1" applyFont="1" applyFill="1" applyBorder="1"/>
    <x:xf numFmtId="0" fontId="8" fillId="0" borderId="8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0" fontId="8" fillId="5" borderId="15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0" fontId="8" fillId="6" borderId="15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8" fillId="5" borderId="15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right" vertical="center"/>
    </x:xf>
    <x:xf numFmtId="0" fontId="8" fillId="6" borderId="15" xfId="0" applyNumberFormat="1" applyFont="1" applyFill="1" applyBorder="1" applyAlignment="1">
      <x:alignment horizontal="right" vertical="center"/>
    </x:xf>
    <x:xf numFmtId="201" fontId="8" fillId="5" borderId="8" xfId="0" applyNumberFormat="1" applyFont="1" applyFill="1" applyBorder="1" applyAlignment="1">
      <x:alignment horizontal="center" vertical="center"/>
    </x:xf>
    <x:xf numFmtId="201" fontId="8" fillId="5" borderId="15" xfId="0" applyNumberFormat="1" applyFont="1" applyFill="1" applyBorder="1" applyAlignment="1">
      <x:alignment horizontal="center" vertical="center"/>
    </x:xf>
    <x:xf numFmtId="201" fontId="8" fillId="6" borderId="8" xfId="0" applyNumberFormat="1" applyFont="1" applyFill="1" applyBorder="1" applyAlignment="1">
      <x:alignment horizontal="center" vertical="center"/>
    </x:xf>
    <x:xf numFmtId="201" fontId="8" fillId="6" borderId="15" xfId="0" applyNumberFormat="1" applyFont="1" applyFill="1" applyBorder="1" applyAlignment="1">
      <x:alignment horizontal="center" vertical="center"/>
    </x:xf>
    <x:xf numFmtId="202" fontId="8" fillId="6" borderId="8" xfId="0" applyNumberFormat="1" applyFont="1" applyFill="1" applyBorder="1" applyAlignment="1">
      <x:alignment horizontal="right" vertical="center"/>
    </x:xf>
    <x:xf numFmtId="202" fontId="8" fillId="6" borderId="15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202" fontId="9" fillId="3" borderId="16" xfId="0" applyNumberFormat="1" applyFont="1" applyFill="1" applyBorder="1"/>
    <x:xf numFmtId="202" fontId="9" fillId="3" borderId="17" xfId="0" applyNumberFormat="1" applyFont="1" applyFill="1" applyBorder="1"/>
    <x:xf numFmtId="202" fontId="9" fillId="3" borderId="16" xfId="0" applyNumberFormat="1" applyFont="1" applyFill="1" applyBorder="1" applyAlignment="1">
      <x:alignment horizontal="right"/>
    </x:xf>
    <x:xf numFmtId="202" fontId="9" fillId="3" borderId="17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/>
    <x:xf numFmtId="0" fontId="10" fillId="0" borderId="18" xfId="0" applyNumberFormat="1" applyFont="1" applyFill="1" applyBorder="1"/>
    <x:xf numFmtId="0" fontId="10" fillId="0" borderId="18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8" fillId="0" borderId="7" xfId="0" applyNumberFormat="1" applyFont="1" applyFill="1" applyBorder="1"/>
    <x:xf numFmtId="0" fontId="8" fillId="0" borderId="7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202" fontId="8" fillId="0" borderId="8" xfId="0" applyNumberFormat="1" applyFont="1" applyFill="1" applyBorder="1" applyAlignment="1">
      <x:alignment vertical="center"/>
    </x:xf>
    <x:xf numFmtId="202" fontId="8" fillId="0" borderId="15" xfId="0" applyNumberFormat="1" applyFont="1" applyFill="1" applyBorder="1" applyAlignment="1">
      <x:alignment vertical="center"/>
    </x:xf>
    <x:xf numFmtId="202" fontId="8" fillId="0" borderId="7" xfId="0" applyNumberFormat="1" applyFont="1" applyFill="1" applyBorder="1" applyAlignment="1">
      <x:alignment vertical="center"/>
    </x:xf>
    <x:xf numFmtId="202" fontId="8" fillId="0" borderId="8" xfId="0" applyNumberFormat="1" applyFont="1" applyFill="1" applyBorder="1" applyAlignment="1">
      <x:alignment horizontal="right" vertical="center"/>
    </x:xf>
    <x:xf numFmtId="202" fontId="8" fillId="0" borderId="15" xfId="0" applyNumberFormat="1" applyFont="1" applyFill="1" applyBorder="1" applyAlignment="1">
      <x:alignment horizontal="right" vertical="center"/>
    </x:xf>
    <x:xf numFmtId="202" fontId="8" fillId="0" borderId="7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203" fontId="14" fillId="0" borderId="0" xfId="0" applyNumberFormat="1" applyFont="1" applyFill="1" applyBorder="1"/>
    <x:xf numFmtId="204" fontId="1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01bbaa6894bc1" /><Relationship Type="http://schemas.openxmlformats.org/officeDocument/2006/relationships/theme" Target="/xl/theme/theme1.xml" Id="Refdb6fc132b04101" /><Relationship Type="http://schemas.openxmlformats.org/officeDocument/2006/relationships/sharedStrings" Target="/xl/sharedStrings.xml" Id="R8dcf522840e6459c" /><Relationship Type="http://schemas.openxmlformats.org/officeDocument/2006/relationships/worksheet" Target="/xl/worksheets/sheet1.xml" Id="R391a1f99e346424c" /><Relationship Type="http://schemas.openxmlformats.org/officeDocument/2006/relationships/worksheet" Target="/xl/worksheets/sheet2.xml" Id="Rb118e6236b1e4192" /><Relationship Type="http://schemas.openxmlformats.org/officeDocument/2006/relationships/worksheet" Target="/xl/worksheets/sheet3.xml" Id="R77c2d5a32ae8437e" /><Relationship Type="http://schemas.microsoft.com/office/2017/10/relationships/person" Target="/xl/persons/person.xml" Id="Rfe0a3e6f387945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077d2b3a22b4061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0</xdr:row>
      <xdr:rowOff>19050</xdr:rowOff>
    </xdr:from>
    <xdr:ext cx="400050" cy="400050"/>
    <xdr:pic>
      <xdr:nvPicPr>
        <xdr:cNvPr id="1" name="89f02f99-85c2-44fc-b46e-9942db118d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77d2b3a22b40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Highland Fresh" id="{43497EAA-5C0D-4330-A6C7-5514ED19A6B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03T12:00:06.381" personId="{43497EAA-5C0D-4330-A6C7-5514ED19A6B8}" id="{038C7129-9FF4-2B1D-7AE8-64040C93D7DD}">
    <xltc:text>Enter the customer's official Purchase Order number.</xltc:text>
  </xltc:threadedComment>
  <xltc:threadedComment ref="B5" dT="2026-08-03T12:00:06.388" personId="{43497EAA-5C0D-4330-A6C7-5514ED19A6B8}" id="{97AA0B42-8AD8-7264-C190-386CCA030A10}">
    <xltc:text>Choose the requested delivery date.</xltc:text>
  </xltc:threadedComment>
  <xltc:threadedComment ref="A11" dT="2026-08-03T12:00:06.388" personId="{43497EAA-5C0D-4330-A6C7-5514ED19A6B8}" id="{D7692364-FCFC-DE9A-0425-2CF709A60F70}">
    <xltc:text>Select a Highland Fresh product from the dropdown.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5bf54b22d6b449d" /><Relationship Type="http://schemas.openxmlformats.org/officeDocument/2006/relationships/vmlDrawing" Target="/xl/drawings/vmldrawing.vml" Id="Rb2798ef7d0d240c8" /><Relationship Type="http://schemas.microsoft.com/office/2017/10/relationships/threadedComment" Target="/xl/threadedcomments/threadedcomment.xml" Id="Rbcd6c2fb42ef43d9" /><Relationship Type="http://schemas.openxmlformats.org/officeDocument/2006/relationships/drawing" Target="/xl/drawings/drawing1.xml" Id="Rccff297108bf48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" hidden="0" customWidth="1"/>
    <x:col min="3" max="3" width="13" hidden="0" customWidth="1"/>
    <x:col min="4" max="4" width="12" hidden="0" customWidth="1"/>
    <x:col min="5" max="5" width="15" hidden="0" customWidth="1"/>
    <x:col min="6" max="6" width="15" hidden="0" customWidth="1"/>
    <x:col min="7" max="7" width="26" hidden="0" customWidth="1"/>
  </x:cols>
  <x:sheetData>
    <x:row r="1" ht="34" customHeight="1">
      <x:c r="A1" s="4" t="str">
        <x:v>HIGHLAND FRESH DAIRY CORPORATION</x:v>
      </x:c>
      <x:c r="B1" s="4"/>
      <x:c r="C1" s="4"/>
      <x:c r="D1" s="4"/>
      <x:c r="E1" s="4"/>
      <x:c r="F1" s="4"/>
      <x:c r="G1" s="4"/>
    </x:row>
    <x:row r="2" ht="24" customHeight="1">
      <x:c r="A2" s="8" t="str">
        <x:v>CUSTOMER PURCHASE ORDER</x:v>
      </x:c>
      <x:c r="B2" s="8"/>
      <x:c r="C2" s="8"/>
      <x:c r="D2" s="8"/>
      <x:c r="E2" s="8"/>
      <x:c r="F2" s="8"/>
      <x:c r="G2" s="8"/>
    </x:row>
    <x:row r="4">
      <x:c r="A4" s="11" t="str">
        <x:v>PO Number</x:v>
      </x:c>
      <x:c r="B4" s="13"/>
      <x:c r="C4" s="14"/>
      <x:c r="D4" s="11" t="str">
        <x:v>Delivery Address</x:v>
      </x:c>
      <x:c r="E4" s="34" t="str"/>
      <x:c r="F4" s="35"/>
      <x:c r="G4" s="36"/>
    </x:row>
    <x:row r="5">
      <x:c r="A5" s="11" t="str">
        <x:v>Requested Delivery Date</x:v>
      </x:c>
      <x:c r="B5" s="17"/>
      <x:c r="C5" s="16"/>
      <x:c r="D5" s="11" t="str"/>
      <x:c r="E5" s="37"/>
      <x:c r="F5" s="38"/>
      <x:c r="G5" s="39"/>
    </x:row>
    <x:row r="6">
      <x:c r="A6" s="11" t="str">
        <x:v>Customer / Branch</x:v>
      </x:c>
      <x:c r="B6" s="20" t="str"/>
      <x:c r="C6" s="21"/>
      <x:c r="D6" s="11" t="str"/>
      <x:c r="E6" s="10"/>
      <x:c r="F6" s="10"/>
      <x:c r="G6" s="10"/>
    </x:row>
    <x:row r="8" ht="23" customHeight="1">
      <x:c r="A8" s="45" t="str">
        <x:v>Fill only the pale-green cells. Product details, prices, and totals are completed automatically.</x:v>
      </x:c>
      <x:c r="B8" s="46"/>
      <x:c r="C8" s="46"/>
      <x:c r="D8" s="46"/>
      <x:c r="E8" s="46"/>
      <x:c r="F8" s="46"/>
      <x:c r="G8" s="47"/>
    </x:row>
    <x:row r="10" ht="30" customHeight="1">
      <x:c r="A10" s="58" t="str">
        <x:v>Product</x:v>
      </x:c>
      <x:c r="B10" s="59" t="str">
        <x:v>Quantity</x:v>
      </x:c>
      <x:c r="C10" s="59" t="str">
        <x:v>Order Unit</x:v>
      </x:c>
      <x:c r="D10" s="59" t="str">
        <x:v>Items / Box</x:v>
      </x:c>
      <x:c r="E10" s="59" t="str">
        <x:v>Unit Price</x:v>
      </x:c>
      <x:c r="F10" s="59" t="str">
        <x:v>Line Total</x:v>
      </x:c>
      <x:c r="G10" s="60" t="str">
        <x:v>Optional Remarks</x:v>
      </x:c>
    </x:row>
    <x:row r="11">
      <x:c r="A11" s="66"/>
      <x:c r="B11" s="76"/>
      <x:c r="C11" s="70"/>
      <x:c r="D11" s="78" t="str">
        <x:f>IFERROR(VLOOKUP(A11,'Product Catalog'!$G$4:$N$11,5,FALSE),"")</x:f>
      </x:c>
      <x:c r="E11" s="80" t="str">
        <x:f>IF(OR(A11="",C11=""),"",IF(C11="Box",VLOOKUP(A11,'Product Catalog'!$G$4:$N$11,6,FALSE)*VLOOKUP(A11,'Product Catalog'!$G$4:$N$11,5,FALSE),VLOOKUP(A11,'Product Catalog'!$G$4:$N$11,6,FALSE)))</x:f>
      </x:c>
      <x:c r="F11" s="80" t="str">
        <x:f>IF(OR(A11="",B11="",C11=""),"",B11*E11)</x:f>
      </x:c>
      <x:c r="G11" s="66"/>
    </x:row>
    <x:row r="12">
      <x:c r="A12" s="67"/>
      <x:c r="B12" s="77"/>
      <x:c r="C12" s="72"/>
      <x:c r="D12" s="79" t="str">
        <x:f>IFERROR(VLOOKUP(A12,'Product Catalog'!$G$4:$N$11,5,FALSE),"")</x:f>
      </x:c>
      <x:c r="E12" s="81" t="str">
        <x:f>IF(OR(A12="",C12=""),"",IF(C12="Box",VLOOKUP(A12,'Product Catalog'!$G$4:$N$11,6,FALSE)*VLOOKUP(A12,'Product Catalog'!$G$4:$N$11,5,FALSE),VLOOKUP(A12,'Product Catalog'!$G$4:$N$11,6,FALSE)))</x:f>
      </x:c>
      <x:c r="F12" s="81" t="str">
        <x:f>IF(OR(A12="",B12="",C12=""),"",B12*E12)</x:f>
      </x:c>
      <x:c r="G12" s="67"/>
    </x:row>
    <x:row r="13">
      <x:c r="A13" s="67"/>
      <x:c r="B13" s="77"/>
      <x:c r="C13" s="72"/>
      <x:c r="D13" s="79" t="str">
        <x:f>IFERROR(VLOOKUP(A13,'Product Catalog'!$G$4:$N$11,5,FALSE),"")</x:f>
      </x:c>
      <x:c r="E13" s="81" t="str">
        <x:f>IF(OR(A13="",C13=""),"",IF(C13="Box",VLOOKUP(A13,'Product Catalog'!$G$4:$N$11,6,FALSE)*VLOOKUP(A13,'Product Catalog'!$G$4:$N$11,5,FALSE),VLOOKUP(A13,'Product Catalog'!$G$4:$N$11,6,FALSE)))</x:f>
      </x:c>
      <x:c r="F13" s="81" t="str">
        <x:f>IF(OR(A13="",B13="",C13=""),"",B13*E13)</x:f>
      </x:c>
      <x:c r="G13" s="67"/>
    </x:row>
    <x:row r="14">
      <x:c r="A14" s="67"/>
      <x:c r="B14" s="77"/>
      <x:c r="C14" s="72"/>
      <x:c r="D14" s="79" t="str">
        <x:f>IFERROR(VLOOKUP(A14,'Product Catalog'!$G$4:$N$11,5,FALSE),"")</x:f>
      </x:c>
      <x:c r="E14" s="81" t="str">
        <x:f>IF(OR(A14="",C14=""),"",IF(C14="Box",VLOOKUP(A14,'Product Catalog'!$G$4:$N$11,6,FALSE)*VLOOKUP(A14,'Product Catalog'!$G$4:$N$11,5,FALSE),VLOOKUP(A14,'Product Catalog'!$G$4:$N$11,6,FALSE)))</x:f>
      </x:c>
      <x:c r="F14" s="81" t="str">
        <x:f>IF(OR(A14="",B14="",C14=""),"",B14*E14)</x:f>
      </x:c>
      <x:c r="G14" s="67"/>
    </x:row>
    <x:row r="15">
      <x:c r="A15" s="67"/>
      <x:c r="B15" s="77"/>
      <x:c r="C15" s="72"/>
      <x:c r="D15" s="79" t="str">
        <x:f>IFERROR(VLOOKUP(A15,'Product Catalog'!$G$4:$N$11,5,FALSE),"")</x:f>
      </x:c>
      <x:c r="E15" s="81" t="str">
        <x:f>IF(OR(A15="",C15=""),"",IF(C15="Box",VLOOKUP(A15,'Product Catalog'!$G$4:$N$11,6,FALSE)*VLOOKUP(A15,'Product Catalog'!$G$4:$N$11,5,FALSE),VLOOKUP(A15,'Product Catalog'!$G$4:$N$11,6,FALSE)))</x:f>
      </x:c>
      <x:c r="F15" s="81" t="str">
        <x:f>IF(OR(A15="",B15="",C15=""),"",B15*E15)</x:f>
      </x:c>
      <x:c r="G15" s="67"/>
    </x:row>
    <x:row r="16">
      <x:c r="A16" s="67"/>
      <x:c r="B16" s="77"/>
      <x:c r="C16" s="72"/>
      <x:c r="D16" s="79" t="str">
        <x:f>IFERROR(VLOOKUP(A16,'Product Catalog'!$G$4:$N$11,5,FALSE),"")</x:f>
      </x:c>
      <x:c r="E16" s="81" t="str">
        <x:f>IF(OR(A16="",C16=""),"",IF(C16="Box",VLOOKUP(A16,'Product Catalog'!$G$4:$N$11,6,FALSE)*VLOOKUP(A16,'Product Catalog'!$G$4:$N$11,5,FALSE),VLOOKUP(A16,'Product Catalog'!$G$4:$N$11,6,FALSE)))</x:f>
      </x:c>
      <x:c r="F16" s="81" t="str">
        <x:f>IF(OR(A16="",B16="",C16=""),"",B16*E16)</x:f>
      </x:c>
      <x:c r="G16" s="67"/>
    </x:row>
    <x:row r="17">
      <x:c r="A17" s="67"/>
      <x:c r="B17" s="77"/>
      <x:c r="C17" s="72"/>
      <x:c r="D17" s="79" t="str">
        <x:f>IFERROR(VLOOKUP(A17,'Product Catalog'!$G$4:$N$11,5,FALSE),"")</x:f>
      </x:c>
      <x:c r="E17" s="81" t="str">
        <x:f>IF(OR(A17="",C17=""),"",IF(C17="Box",VLOOKUP(A17,'Product Catalog'!$G$4:$N$11,6,FALSE)*VLOOKUP(A17,'Product Catalog'!$G$4:$N$11,5,FALSE),VLOOKUP(A17,'Product Catalog'!$G$4:$N$11,6,FALSE)))</x:f>
      </x:c>
      <x:c r="F17" s="81" t="str">
        <x:f>IF(OR(A17="",B17="",C17=""),"",B17*E17)</x:f>
      </x:c>
      <x:c r="G17" s="67"/>
    </x:row>
    <x:row r="18">
      <x:c r="A18" s="67"/>
      <x:c r="B18" s="77"/>
      <x:c r="C18" s="72"/>
      <x:c r="D18" s="79" t="str">
        <x:f>IFERROR(VLOOKUP(A18,'Product Catalog'!$G$4:$N$11,5,FALSE),"")</x:f>
      </x:c>
      <x:c r="E18" s="81" t="str">
        <x:f>IF(OR(A18="",C18=""),"",IF(C18="Box",VLOOKUP(A18,'Product Catalog'!$G$4:$N$11,6,FALSE)*VLOOKUP(A18,'Product Catalog'!$G$4:$N$11,5,FALSE),VLOOKUP(A18,'Product Catalog'!$G$4:$N$11,6,FALSE)))</x:f>
      </x:c>
      <x:c r="F18" s="81" t="str">
        <x:f>IF(OR(A18="",B18="",C18=""),"",B18*E18)</x:f>
      </x:c>
      <x:c r="G18" s="67"/>
    </x:row>
    <x:row r="19">
      <x:c r="A19" s="67"/>
      <x:c r="B19" s="77"/>
      <x:c r="C19" s="72"/>
      <x:c r="D19" s="79" t="str">
        <x:f>IFERROR(VLOOKUP(A19,'Product Catalog'!$G$4:$N$11,5,FALSE),"")</x:f>
      </x:c>
      <x:c r="E19" s="81" t="str">
        <x:f>IF(OR(A19="",C19=""),"",IF(C19="Box",VLOOKUP(A19,'Product Catalog'!$G$4:$N$11,6,FALSE)*VLOOKUP(A19,'Product Catalog'!$G$4:$N$11,5,FALSE),VLOOKUP(A19,'Product Catalog'!$G$4:$N$11,6,FALSE)))</x:f>
      </x:c>
      <x:c r="F19" s="81" t="str">
        <x:f>IF(OR(A19="",B19="",C19=""),"",B19*E19)</x:f>
      </x:c>
      <x:c r="G19" s="67"/>
    </x:row>
    <x:row r="20">
      <x:c r="A20" s="67"/>
      <x:c r="B20" s="77"/>
      <x:c r="C20" s="72"/>
      <x:c r="D20" s="79" t="str">
        <x:f>IFERROR(VLOOKUP(A20,'Product Catalog'!$G$4:$N$11,5,FALSE),"")</x:f>
      </x:c>
      <x:c r="E20" s="81" t="str">
        <x:f>IF(OR(A20="",C20=""),"",IF(C20="Box",VLOOKUP(A20,'Product Catalog'!$G$4:$N$11,6,FALSE)*VLOOKUP(A20,'Product Catalog'!$G$4:$N$11,5,FALSE),VLOOKUP(A20,'Product Catalog'!$G$4:$N$11,6,FALSE)))</x:f>
      </x:c>
      <x:c r="F20" s="81" t="str">
        <x:f>IF(OR(A20="",B20="",C20=""),"",B20*E20)</x:f>
      </x:c>
      <x:c r="G20" s="67"/>
    </x:row>
    <x:row r="21">
      <x:c r="A21" s="67"/>
      <x:c r="B21" s="77"/>
      <x:c r="C21" s="72"/>
      <x:c r="D21" s="79" t="str">
        <x:f>IFERROR(VLOOKUP(A21,'Product Catalog'!$G$4:$N$11,5,FALSE),"")</x:f>
      </x:c>
      <x:c r="E21" s="81" t="str">
        <x:f>IF(OR(A21="",C21=""),"",IF(C21="Box",VLOOKUP(A21,'Product Catalog'!$G$4:$N$11,6,FALSE)*VLOOKUP(A21,'Product Catalog'!$G$4:$N$11,5,FALSE),VLOOKUP(A21,'Product Catalog'!$G$4:$N$11,6,FALSE)))</x:f>
      </x:c>
      <x:c r="F21" s="81" t="str">
        <x:f>IF(OR(A21="",B21="",C21=""),"",B21*E21)</x:f>
      </x:c>
      <x:c r="G21" s="67"/>
    </x:row>
    <x:row r="22">
      <x:c r="A22" s="67"/>
      <x:c r="B22" s="77"/>
      <x:c r="C22" s="72"/>
      <x:c r="D22" s="79" t="str">
        <x:f>IFERROR(VLOOKUP(A22,'Product Catalog'!$G$4:$N$11,5,FALSE),"")</x:f>
      </x:c>
      <x:c r="E22" s="81" t="str">
        <x:f>IF(OR(A22="",C22=""),"",IF(C22="Box",VLOOKUP(A22,'Product Catalog'!$G$4:$N$11,6,FALSE)*VLOOKUP(A22,'Product Catalog'!$G$4:$N$11,5,FALSE),VLOOKUP(A22,'Product Catalog'!$G$4:$N$11,6,FALSE)))</x:f>
      </x:c>
      <x:c r="F22" s="81" t="str">
        <x:f>IF(OR(A22="",B22="",C22=""),"",B22*E22)</x:f>
      </x:c>
      <x:c r="G22" s="67"/>
    </x:row>
    <x:row r="23">
      <x:c r="A23" s="67"/>
      <x:c r="B23" s="77"/>
      <x:c r="C23" s="72"/>
      <x:c r="D23" s="79" t="str">
        <x:f>IFERROR(VLOOKUP(A23,'Product Catalog'!$G$4:$N$11,5,FALSE),"")</x:f>
      </x:c>
      <x:c r="E23" s="81" t="str">
        <x:f>IF(OR(A23="",C23=""),"",IF(C23="Box",VLOOKUP(A23,'Product Catalog'!$G$4:$N$11,6,FALSE)*VLOOKUP(A23,'Product Catalog'!$G$4:$N$11,5,FALSE),VLOOKUP(A23,'Product Catalog'!$G$4:$N$11,6,FALSE)))</x:f>
      </x:c>
      <x:c r="F23" s="81" t="str">
        <x:f>IF(OR(A23="",B23="",C23=""),"",B23*E23)</x:f>
      </x:c>
      <x:c r="G23" s="67"/>
    </x:row>
    <x:row r="24">
      <x:c r="A24" s="67"/>
      <x:c r="B24" s="77"/>
      <x:c r="C24" s="72"/>
      <x:c r="D24" s="79" t="str">
        <x:f>IFERROR(VLOOKUP(A24,'Product Catalog'!$G$4:$N$11,5,FALSE),"")</x:f>
      </x:c>
      <x:c r="E24" s="81" t="str">
        <x:f>IF(OR(A24="",C24=""),"",IF(C24="Box",VLOOKUP(A24,'Product Catalog'!$G$4:$N$11,6,FALSE)*VLOOKUP(A24,'Product Catalog'!$G$4:$N$11,5,FALSE),VLOOKUP(A24,'Product Catalog'!$G$4:$N$11,6,FALSE)))</x:f>
      </x:c>
      <x:c r="F24" s="81" t="str">
        <x:f>IF(OR(A24="",B24="",C24=""),"",B24*E24)</x:f>
      </x:c>
      <x:c r="G24" s="67"/>
    </x:row>
    <x:row r="25">
      <x:c r="A25" s="67"/>
      <x:c r="B25" s="77"/>
      <x:c r="C25" s="72"/>
      <x:c r="D25" s="79" t="str">
        <x:f>IFERROR(VLOOKUP(A25,'Product Catalog'!$G$4:$N$11,5,FALSE),"")</x:f>
      </x:c>
      <x:c r="E25" s="81" t="str">
        <x:f>IF(OR(A25="",C25=""),"",IF(C25="Box",VLOOKUP(A25,'Product Catalog'!$G$4:$N$11,6,FALSE)*VLOOKUP(A25,'Product Catalog'!$G$4:$N$11,5,FALSE),VLOOKUP(A25,'Product Catalog'!$G$4:$N$11,6,FALSE)))</x:f>
      </x:c>
      <x:c r="F25" s="81" t="str">
        <x:f>IF(OR(A25="",B25="",C25=""),"",B25*E25)</x:f>
      </x:c>
      <x:c r="G25" s="67"/>
    </x:row>
    <x:row r="27">
      <x:c r="E27" s="87" t="str">
        <x:v>ORDER TOTAL</x:v>
      </x:c>
      <x:c r="F27" s="88" t="n">
        <x:f>SUM(F11:F25)</x:f>
        <x:v>0</x:v>
      </x:c>
    </x:row>
    <x:row r="29">
      <x:c r="A29" s="91" t="str">
        <x:v>Prepared by Customer Purchasing</x:v>
      </x:c>
      <x:c r="B29" s="91"/>
      <x:c r="C29" s="91"/>
      <x:c r="D29" s="91"/>
      <x:c r="E29" s="91" t="str">
        <x:v>Authorized Signature</x:v>
      </x:c>
      <x:c r="F29" s="91"/>
      <x:c r="G29" s="91"/>
    </x:row>
  </x:sheetData>
  <x:mergeCells>
    <x:mergeCell ref="A1:G1"/>
    <x:mergeCell ref="A2:G2"/>
    <x:mergeCell ref="B4:C4"/>
    <x:mergeCell ref="B5:C5"/>
    <x:mergeCell ref="B6:C6"/>
    <x:mergeCell ref="E4:G5"/>
    <x:mergeCell ref="A8:G8"/>
    <x:mergeCell ref="A29:C29"/>
    <x:mergeCell ref="E29:G29"/>
  </x:mergeCells>
  <x:dataValidations count="17">
    <x:dataValidation type="list" sqref="C11">
      <x:formula1>OFFSET('Product Catalog'!$M$4,MATCH(A11,'Product Catalog'!$G$4:$G$11,0)-1,0,1,2)</x:formula1>
    </x:dataValidation>
    <x:dataValidation type="list" sqref="C12">
      <x:formula1>OFFSET('Product Catalog'!$M$4,MATCH(A12,'Product Catalog'!$G$4:$G$11,0)-1,0,1,2)</x:formula1>
    </x:dataValidation>
    <x:dataValidation type="list" sqref="C13">
      <x:formula1>OFFSET('Product Catalog'!$M$4,MATCH(A13,'Product Catalog'!$G$4:$G$11,0)-1,0,1,2)</x:formula1>
    </x:dataValidation>
    <x:dataValidation type="list" sqref="C14">
      <x:formula1>OFFSET('Product Catalog'!$M$4,MATCH(A14,'Product Catalog'!$G$4:$G$11,0)-1,0,1,2)</x:formula1>
    </x:dataValidation>
    <x:dataValidation type="list" sqref="C15">
      <x:formula1>OFFSET('Product Catalog'!$M$4,MATCH(A15,'Product Catalog'!$G$4:$G$11,0)-1,0,1,2)</x:formula1>
    </x:dataValidation>
    <x:dataValidation type="list" sqref="C16">
      <x:formula1>OFFSET('Product Catalog'!$M$4,MATCH(A16,'Product Catalog'!$G$4:$G$11,0)-1,0,1,2)</x:formula1>
    </x:dataValidation>
    <x:dataValidation type="list" sqref="C17">
      <x:formula1>OFFSET('Product Catalog'!$M$4,MATCH(A17,'Product Catalog'!$G$4:$G$11,0)-1,0,1,2)</x:formula1>
    </x:dataValidation>
    <x:dataValidation type="list" sqref="C18">
      <x:formula1>OFFSET('Product Catalog'!$M$4,MATCH(A18,'Product Catalog'!$G$4:$G$11,0)-1,0,1,2)</x:formula1>
    </x:dataValidation>
    <x:dataValidation type="list" sqref="C19">
      <x:formula1>OFFSET('Product Catalog'!$M$4,MATCH(A19,'Product Catalog'!$G$4:$G$11,0)-1,0,1,2)</x:formula1>
    </x:dataValidation>
    <x:dataValidation type="list" sqref="C20">
      <x:formula1>OFFSET('Product Catalog'!$M$4,MATCH(A20,'Product Catalog'!$G$4:$G$11,0)-1,0,1,2)</x:formula1>
    </x:dataValidation>
    <x:dataValidation type="list" sqref="C21">
      <x:formula1>OFFSET('Product Catalog'!$M$4,MATCH(A21,'Product Catalog'!$G$4:$G$11,0)-1,0,1,2)</x:formula1>
    </x:dataValidation>
    <x:dataValidation type="list" sqref="C22">
      <x:formula1>OFFSET('Product Catalog'!$M$4,MATCH(A22,'Product Catalog'!$G$4:$G$11,0)-1,0,1,2)</x:formula1>
    </x:dataValidation>
    <x:dataValidation type="list" sqref="C23">
      <x:formula1>OFFSET('Product Catalog'!$M$4,MATCH(A23,'Product Catalog'!$G$4:$G$11,0)-1,0,1,2)</x:formula1>
    </x:dataValidation>
    <x:dataValidation type="list" sqref="C24">
      <x:formula1>OFFSET('Product Catalog'!$M$4,MATCH(A24,'Product Catalog'!$G$4:$G$11,0)-1,0,1,2)</x:formula1>
    </x:dataValidation>
    <x:dataValidation type="list" sqref="C25">
      <x:formula1>OFFSET('Product Catalog'!$M$4,MATCH(A25,'Product Catalog'!$G$4:$G$11,0)-1,0,1,2)</x:formula1>
    </x:dataValidation>
    <x:dataValidation type="list" sqref="A11:A25">
      <x:formula1>'Product Catalog'!$G$4:$G$11</x:formula1>
    </x:dataValidation>
    <x:dataValidation type="whole" operator="between" sqref="B11:B25">
      <x:formula1>1</x:formula1>
      <x:formula2>100000</x:formula2>
    </x:dataValidation>
  </x:dataValidations>
  <x:pageMargins left="0.7" right="0.7" top="0.75" bottom="0.75" header="0.3" footer="0.3"/>
  <x:drawing xmlns:r="http://schemas.openxmlformats.org/officeDocument/2006/relationships" r:id="Rccff297108bf4815"/>
  <x:legacyDrawing xmlns:r="http://schemas.openxmlformats.org/officeDocument/2006/relationships" r:id="Rb2798ef7d0d240c8"/>
</x: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" hidden="0" customWidth="1"/>
    <col min="2" max="2" width="24" hidden="0" customWidth="1"/>
    <col min="3" max="3" width="14" hidden="0" customWidth="1"/>
    <col min="4" max="4" width="25" hidden="0" customWidth="1"/>
    <col min="5" max="5" width="14" hidden="0" customWidth="1"/>
    <col min="6" max="6" width="16" hidden="0" customWidth="1"/>
    <col min="7" max="14" hidden="1" width="2" customWidth="1"/>
  </cols>
  <sheetData>
    <row r="1" ht="32" customHeight="1">
      <c r="A1" s="94" t="str">
        <v>HIGHLAND FRESH PRODUCT CATALOG</v>
      </c>
      <c r="B1" s="94"/>
      <c r="C1" s="94"/>
      <c r="D1" s="94"/>
      <c r="E1" s="94"/>
      <c r="F1" s="94"/>
    </row>
    <row r="2" ht="30" customHeight="1">
      <c r="A2" s="98" t="str">
        <v>Approved customer-order products. Any positive quantity may be requested; Highland Fresh confirms the delivery schedule after review.</v>
      </c>
      <c r="B2" s="98"/>
      <c r="C2" s="98"/>
      <c r="D2" s="98"/>
      <c r="E2" s="98"/>
      <c r="F2" s="98"/>
    </row>
    <row r="3">
      <c r="A3" s="100" t="str">
        <v>Code</v>
      </c>
      <c r="B3" s="100" t="str">
        <v>Product</v>
      </c>
      <c r="C3" s="100" t="str">
        <v>Size</v>
      </c>
      <c r="D3" s="100" t="str">
        <v>Available Ordering Units</v>
      </c>
      <c r="E3" s="100" t="str">
        <v>Items per Box</v>
      </c>
      <c r="F3" s="100" t="str">
        <v>Price per Item</v>
      </c>
      <c r="G3" t="str">
        <v>Order Selection</v>
      </c>
      <c r="H3" t="str">
        <v>Product Code</v>
      </c>
      <c r="I3" t="str">
        <v>Description</v>
      </c>
      <c r="J3" t="str">
        <v>Size</v>
      </c>
      <c r="K3" t="str">
        <v>Items per Box</v>
      </c>
      <c r="L3" t="str">
        <v>Official Price</v>
      </c>
      <c r="M3" t="str">
        <v>Base Unit</v>
      </c>
      <c r="N3" t="str">
        <v>Box Unit</v>
      </c>
    </row>
    <row r="4">
      <c r="A4" s="64" t="str">
        <v>FMK-1L</v>
      </c>
      <c r="B4" s="64" t="str">
        <v>Fresh Milk</v>
      </c>
      <c r="C4" s="64" t="str">
        <v>1 Liter</v>
      </c>
      <c r="D4" s="64" t="str">
        <v>Bottle or Box</v>
      </c>
      <c r="E4" s="103" t="n">
        <v>12</v>
      </c>
      <c r="F4" s="109" t="n">
        <v>105</v>
      </c>
      <c r="G4" t="str">
        <v>FMK-1L — Fresh Milk 1 Liter</v>
      </c>
      <c r="H4" t="str">
        <v>FMK-1L</v>
      </c>
      <c r="I4" t="str">
        <v>Fresh Milk 1 Liter</v>
      </c>
      <c r="J4" t="str">
        <v>1 Liter</v>
      </c>
      <c r="K4" t="n">
        <v>12</v>
      </c>
      <c r="L4" t="n">
        <v>105</v>
      </c>
      <c r="M4" t="str">
        <v>Bottle</v>
      </c>
      <c r="N4" t="str">
        <v>Box</v>
      </c>
    </row>
    <row r="5">
      <c r="A5" s="65" t="str">
        <v>FMK-500</v>
      </c>
      <c r="B5" s="65" t="str">
        <v>Fresh Milk</v>
      </c>
      <c r="C5" s="65" t="str">
        <v>500 mL</v>
      </c>
      <c r="D5" s="65" t="str">
        <v>Bottle or Box</v>
      </c>
      <c r="E5" s="104" t="n">
        <v>24</v>
      </c>
      <c r="F5" s="110" t="n">
        <v>60</v>
      </c>
      <c r="G5" t="str">
        <v>FMK-500 — Fresh Milk 500 mL</v>
      </c>
      <c r="H5" t="str">
        <v>FMK-500</v>
      </c>
      <c r="I5" t="str">
        <v>Fresh Milk 500 mL</v>
      </c>
      <c r="J5" t="str">
        <v>500 mL</v>
      </c>
      <c r="K5" t="n">
        <v>24</v>
      </c>
      <c r="L5" t="n">
        <v>60</v>
      </c>
      <c r="M5" t="str">
        <v>Bottle</v>
      </c>
      <c r="N5" t="str">
        <v>Box</v>
      </c>
    </row>
    <row r="6">
      <c r="A6" s="65" t="str">
        <v>CHO-1L</v>
      </c>
      <c r="B6" s="65" t="str">
        <v>Chocolate Milk</v>
      </c>
      <c r="C6" s="65" t="str">
        <v>1 Liter</v>
      </c>
      <c r="D6" s="65" t="str">
        <v>Bottle or Box</v>
      </c>
      <c r="E6" s="104" t="n">
        <v>12</v>
      </c>
      <c r="F6" s="110" t="n">
        <v>45</v>
      </c>
      <c r="G6" t="str">
        <v>CHO-1L — Chocolate Milk 1 Liter</v>
      </c>
      <c r="H6" t="str">
        <v>CHO-1L</v>
      </c>
      <c r="I6" t="str">
        <v>Chocolate Milk 1 Liter</v>
      </c>
      <c r="J6" t="str">
        <v>1 Liter</v>
      </c>
      <c r="K6" t="n">
        <v>12</v>
      </c>
      <c r="L6" t="n">
        <v>45</v>
      </c>
      <c r="M6" t="str">
        <v>Bottle</v>
      </c>
      <c r="N6" t="str">
        <v>Box</v>
      </c>
    </row>
    <row r="7">
      <c r="A7" s="65" t="str">
        <v>YOG-500</v>
      </c>
      <c r="B7" s="65" t="str">
        <v>Plain Yogurt</v>
      </c>
      <c r="C7" s="65" t="str">
        <v>500 g</v>
      </c>
      <c r="D7" s="65" t="str">
        <v>Piece or Box</v>
      </c>
      <c r="E7" s="104" t="n">
        <v>20</v>
      </c>
      <c r="F7" s="110" t="n">
        <v>50</v>
      </c>
      <c r="G7" t="str">
        <v>YOG-500 — Plain Yogurt 500 g</v>
      </c>
      <c r="H7" t="str">
        <v>YOG-500</v>
      </c>
      <c r="I7" t="str">
        <v>Plain Yogurt 500 g</v>
      </c>
      <c r="J7" t="str">
        <v>500 g</v>
      </c>
      <c r="K7" t="n">
        <v>20</v>
      </c>
      <c r="L7" t="n">
        <v>50</v>
      </c>
      <c r="M7" t="str">
        <v>Piece</v>
      </c>
      <c r="N7" t="str">
        <v>Box</v>
      </c>
    </row>
    <row r="8">
      <c r="A8" s="65" t="str">
        <v>YOG-STR</v>
      </c>
      <c r="B8" s="65" t="str">
        <v>Strawberry Yogurt</v>
      </c>
      <c r="C8" s="65" t="str">
        <v>150 g</v>
      </c>
      <c r="D8" s="65" t="str">
        <v>Piece or Box</v>
      </c>
      <c r="E8" s="104" t="n">
        <v>48</v>
      </c>
      <c r="F8" s="110" t="n">
        <v>50</v>
      </c>
      <c r="G8" t="str">
        <v>YOG-STR — Strawberry Yogurt 150 g</v>
      </c>
      <c r="H8" t="str">
        <v>YOG-STR</v>
      </c>
      <c r="I8" t="str">
        <v>Strawberry Yogurt 150 g</v>
      </c>
      <c r="J8" t="str">
        <v>150 g</v>
      </c>
      <c r="K8" t="n">
        <v>48</v>
      </c>
      <c r="L8" t="n">
        <v>50</v>
      </c>
      <c r="M8" t="str">
        <v>Piece</v>
      </c>
      <c r="N8" t="str">
        <v>Box</v>
      </c>
    </row>
    <row r="9">
      <c r="A9" s="65" t="str">
        <v>CHE-250</v>
      </c>
      <c r="B9" s="65" t="str">
        <v>Kesong Puti</v>
      </c>
      <c r="C9" s="65" t="str">
        <v>250 g</v>
      </c>
      <c r="D9" s="65" t="str">
        <v>Pack or Box</v>
      </c>
      <c r="E9" s="104" t="n">
        <v>24</v>
      </c>
      <c r="F9" s="110" t="n">
        <v>175</v>
      </c>
      <c r="G9" t="str">
        <v>CHE-250 — Kesong Puti 250 g</v>
      </c>
      <c r="H9" t="str">
        <v>CHE-250</v>
      </c>
      <c r="I9" t="str">
        <v>Kesong Puti 250 g</v>
      </c>
      <c r="J9" t="str">
        <v>250 g</v>
      </c>
      <c r="K9" t="n">
        <v>24</v>
      </c>
      <c r="L9" t="n">
        <v>175</v>
      </c>
      <c r="M9" t="str">
        <v>Pack</v>
      </c>
      <c r="N9" t="str">
        <v>Box</v>
      </c>
    </row>
    <row r="10">
      <c r="A10" s="65" t="str">
        <v>BUT-250</v>
      </c>
      <c r="B10" s="65" t="str">
        <v>Butter</v>
      </c>
      <c r="C10" s="65" t="str">
        <v>250 g</v>
      </c>
      <c r="D10" s="65" t="str">
        <v>Block or Box</v>
      </c>
      <c r="E10" s="104" t="n">
        <v>20</v>
      </c>
      <c r="F10" s="110" t="n">
        <v>140</v>
      </c>
      <c r="G10" t="str">
        <v>BUT-250 — Butter 250 g</v>
      </c>
      <c r="H10" t="str">
        <v>BUT-250</v>
      </c>
      <c r="I10" t="str">
        <v>Butter 250 g</v>
      </c>
      <c r="J10" t="str">
        <v>250 g</v>
      </c>
      <c r="K10" t="n">
        <v>20</v>
      </c>
      <c r="L10" t="n">
        <v>140</v>
      </c>
      <c r="M10" t="str">
        <v>Block</v>
      </c>
      <c r="N10" t="str">
        <v>Box</v>
      </c>
    </row>
    <row r="11">
      <c r="A11" s="102" t="str">
        <v>CRM-1L</v>
      </c>
      <c r="B11" s="102" t="str">
        <v>Fresh Cream</v>
      </c>
      <c r="C11" s="102" t="str">
        <v>1 Liter</v>
      </c>
      <c r="D11" s="102" t="str">
        <v>Bottle or Box</v>
      </c>
      <c r="E11" s="105" t="n">
        <v>12</v>
      </c>
      <c r="F11" s="111" t="n">
        <v>95</v>
      </c>
      <c r="G11" t="str">
        <v>CRM-1L — Fresh Cream 1 Liter</v>
      </c>
      <c r="H11" t="str">
        <v>CRM-1L</v>
      </c>
      <c r="I11" t="str">
        <v>Fresh Cream 1 Liter</v>
      </c>
      <c r="J11" t="str">
        <v>1 Liter</v>
      </c>
      <c r="K11" t="n">
        <v>12</v>
      </c>
      <c r="L11" t="n">
        <v>95</v>
      </c>
      <c r="M11" t="str">
        <v>Bottle</v>
      </c>
      <c r="N11" t="str">
        <v>Box</v>
      </c>
    </row>
  </sheetData>
  <mergeCells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</cols>
  <sheetProtection sheet="1" objects="1" scenarios="1"/>
  <sheetData>
    <row r="1">
      <c r="A1" s="117" t="str">
        <v>customer_po_number</v>
      </c>
      <c r="B1" s="117" t="str">
        <v>customer_code</v>
      </c>
      <c r="C1" s="117" t="str">
        <v>customer_name</v>
      </c>
      <c r="D1" s="117" t="str">
        <v>delivery_date</v>
      </c>
      <c r="E1" s="117" t="str">
        <v>delivery_address</v>
      </c>
      <c r="F1" s="117" t="str">
        <v>product_code</v>
      </c>
      <c r="G1" s="117" t="str">
        <v>description</v>
      </c>
      <c r="H1" s="117" t="str">
        <v>quantity</v>
      </c>
      <c r="I1" s="117" t="str">
        <v>unit</v>
      </c>
      <c r="J1" s="117" t="str">
        <v>unit_price_per_base_unit</v>
      </c>
      <c r="K1" s="117" t="str">
        <v>pieces_per_box</v>
      </c>
      <c r="L1" s="117" t="str">
        <v>remarks</v>
      </c>
      <c r="M1" s="118"/>
      <c r="N1" s="118" t="str">
        <v>Setting</v>
      </c>
      <c r="O1" s="118" t="str">
        <v>Value</v>
      </c>
    </row>
    <row r="2">
      <c r="A2" s="118" t="str">
        <f>IF('Purchase Order'!A11="","",'Purchase Order'!B4)</f>
      </c>
      <c r="B2" s="118" t="str">
        <f>IF(A2="","",$O$2)</f>
      </c>
      <c r="C2" s="118" t="str">
        <f>IF(A2="","",'Purchase Order'!B6)</f>
      </c>
      <c r="D2" s="119" t="str">
        <f>IF(A2="","",'Purchase Order'!B5)</f>
      </c>
      <c r="E2" s="118" t="str">
        <f>IF(A2="","",'Purchase Order'!E4)</f>
      </c>
      <c r="F2" s="118" t="str">
        <f>IF(A2="","",VLOOKUP('Purchase Order'!A11,'Product Catalog'!$G$4:$N$11,2,FALSE))</f>
      </c>
      <c r="G2" s="118" t="str">
        <f>IF(A2="","",VLOOKUP('Purchase Order'!A11,'Product Catalog'!$G$4:$N$11,3,FALSE))</f>
      </c>
      <c r="H2" s="118" t="str">
        <f>IF(A2="","",'Purchase Order'!B11)</f>
      </c>
      <c r="I2" s="118" t="str">
        <f>IF(A2="","",LOWER('Purchase Order'!C11))</f>
      </c>
      <c r="J2" s="120" t="str">
        <f>IF(A2="","",VLOOKUP('Purchase Order'!A11,'Product Catalog'!$G$4:$N$11,6,FALSE))</f>
      </c>
      <c r="K2" s="118" t="str">
        <f>IF(A2="","",VLOOKUP('Purchase Order'!A11,'Product Catalog'!$G$4:$N$11,5,FALSE))</f>
      </c>
      <c r="L2" s="118" t="str">
        <f>IF(A2="","",'Purchase Order'!G11)</f>
      </c>
      <c r="M2" s="118"/>
      <c r="N2" s="118" t="str">
        <v>customer_code</v>
      </c>
      <c r="O2" s="118" t="str"/>
    </row>
    <row r="3">
      <c r="A3" s="118" t="str">
        <f>IF('Purchase Order'!A12="","",'Purchase Order'!B4)</f>
      </c>
      <c r="B3" s="118" t="str">
        <f>IF(A3="","",$O$2)</f>
      </c>
      <c r="C3" s="118" t="str">
        <f>IF(A3="","",'Purchase Order'!B6)</f>
      </c>
      <c r="D3" s="119" t="str">
        <f>IF(A3="","",'Purchase Order'!B5)</f>
      </c>
      <c r="E3" s="118" t="str">
        <f>IF(A3="","",'Purchase Order'!E4)</f>
      </c>
      <c r="F3" s="118" t="str">
        <f>IF(A3="","",VLOOKUP('Purchase Order'!A12,'Product Catalog'!$G$4:$N$11,2,FALSE))</f>
      </c>
      <c r="G3" s="118" t="str">
        <f>IF(A3="","",VLOOKUP('Purchase Order'!A12,'Product Catalog'!$G$4:$N$11,3,FALSE))</f>
      </c>
      <c r="H3" s="118" t="str">
        <f>IF(A3="","",'Purchase Order'!B12)</f>
      </c>
      <c r="I3" s="118" t="str">
        <f>IF(A3="","",LOWER('Purchase Order'!C12))</f>
      </c>
      <c r="J3" s="120" t="str">
        <f>IF(A3="","",VLOOKUP('Purchase Order'!A12,'Product Catalog'!$G$4:$N$11,6,FALSE))</f>
      </c>
      <c r="K3" s="118" t="str">
        <f>IF(A3="","",VLOOKUP('Purchase Order'!A12,'Product Catalog'!$G$4:$N$11,5,FALSE))</f>
      </c>
      <c r="L3" s="118" t="str">
        <f>IF(A3="","",'Purchase Order'!G12)</f>
      </c>
      <c r="M3" s="118"/>
      <c r="N3" s="118" t="str">
        <v>template_version</v>
      </c>
      <c r="O3" s="118" t="str">
        <v>HF-CPO-2</v>
      </c>
    </row>
    <row r="4">
      <c r="A4" s="118" t="str">
        <f>IF('Purchase Order'!A13="","",'Purchase Order'!B4)</f>
      </c>
      <c r="B4" s="118" t="str">
        <f>IF(A4="","",$O$2)</f>
      </c>
      <c r="C4" s="118" t="str">
        <f>IF(A4="","",'Purchase Order'!B6)</f>
      </c>
      <c r="D4" s="119" t="str">
        <f>IF(A4="","",'Purchase Order'!B5)</f>
      </c>
      <c r="E4" s="118" t="str">
        <f>IF(A4="","",'Purchase Order'!E4)</f>
      </c>
      <c r="F4" s="118" t="str">
        <f>IF(A4="","",VLOOKUP('Purchase Order'!A13,'Product Catalog'!$G$4:$N$11,2,FALSE))</f>
      </c>
      <c r="G4" s="118" t="str">
        <f>IF(A4="","",VLOOKUP('Purchase Order'!A13,'Product Catalog'!$G$4:$N$11,3,FALSE))</f>
      </c>
      <c r="H4" s="118" t="str">
        <f>IF(A4="","",'Purchase Order'!B13)</f>
      </c>
      <c r="I4" s="118" t="str">
        <f>IF(A4="","",LOWER('Purchase Order'!C13))</f>
      </c>
      <c r="J4" s="120" t="str">
        <f>IF(A4="","",VLOOKUP('Purchase Order'!A13,'Product Catalog'!$G$4:$N$11,6,FALSE))</f>
      </c>
      <c r="K4" s="118" t="str">
        <f>IF(A4="","",VLOOKUP('Purchase Order'!A13,'Product Catalog'!$G$4:$N$11,5,FALSE))</f>
      </c>
      <c r="L4" s="118" t="str">
        <f>IF(A4="","",'Purchase Order'!G13)</f>
      </c>
      <c r="M4" s="118"/>
      <c r="N4" s="118"/>
      <c r="O4" s="118"/>
    </row>
    <row r="5">
      <c r="A5" s="118" t="str">
        <f>IF('Purchase Order'!A14="","",'Purchase Order'!B4)</f>
      </c>
      <c r="B5" s="118" t="str">
        <f>IF(A5="","",$O$2)</f>
      </c>
      <c r="C5" s="118" t="str">
        <f>IF(A5="","",'Purchase Order'!B6)</f>
      </c>
      <c r="D5" s="119" t="str">
        <f>IF(A5="","",'Purchase Order'!B5)</f>
      </c>
      <c r="E5" s="118" t="str">
        <f>IF(A5="","",'Purchase Order'!E4)</f>
      </c>
      <c r="F5" s="118" t="str">
        <f>IF(A5="","",VLOOKUP('Purchase Order'!A14,'Product Catalog'!$G$4:$N$11,2,FALSE))</f>
      </c>
      <c r="G5" s="118" t="str">
        <f>IF(A5="","",VLOOKUP('Purchase Order'!A14,'Product Catalog'!$G$4:$N$11,3,FALSE))</f>
      </c>
      <c r="H5" s="118" t="str">
        <f>IF(A5="","",'Purchase Order'!B14)</f>
      </c>
      <c r="I5" s="118" t="str">
        <f>IF(A5="","",LOWER('Purchase Order'!C14))</f>
      </c>
      <c r="J5" s="120" t="str">
        <f>IF(A5="","",VLOOKUP('Purchase Order'!A14,'Product Catalog'!$G$4:$N$11,6,FALSE))</f>
      </c>
      <c r="K5" s="118" t="str">
        <f>IF(A5="","",VLOOKUP('Purchase Order'!A14,'Product Catalog'!$G$4:$N$11,5,FALSE))</f>
      </c>
      <c r="L5" s="118" t="str">
        <f>IF(A5="","",'Purchase Order'!G14)</f>
      </c>
      <c r="M5" s="118"/>
      <c r="N5" s="118"/>
      <c r="O5" s="118"/>
    </row>
    <row r="6">
      <c r="A6" s="118" t="str">
        <f>IF('Purchase Order'!A15="","",'Purchase Order'!B4)</f>
      </c>
      <c r="B6" s="118" t="str">
        <f>IF(A6="","",$O$2)</f>
      </c>
      <c r="C6" s="118" t="str">
        <f>IF(A6="","",'Purchase Order'!B6)</f>
      </c>
      <c r="D6" s="119" t="str">
        <f>IF(A6="","",'Purchase Order'!B5)</f>
      </c>
      <c r="E6" s="118" t="str">
        <f>IF(A6="","",'Purchase Order'!E4)</f>
      </c>
      <c r="F6" s="118" t="str">
        <f>IF(A6="","",VLOOKUP('Purchase Order'!A15,'Product Catalog'!$G$4:$N$11,2,FALSE))</f>
      </c>
      <c r="G6" s="118" t="str">
        <f>IF(A6="","",VLOOKUP('Purchase Order'!A15,'Product Catalog'!$G$4:$N$11,3,FALSE))</f>
      </c>
      <c r="H6" s="118" t="str">
        <f>IF(A6="","",'Purchase Order'!B15)</f>
      </c>
      <c r="I6" s="118" t="str">
        <f>IF(A6="","",LOWER('Purchase Order'!C15))</f>
      </c>
      <c r="J6" s="120" t="str">
        <f>IF(A6="","",VLOOKUP('Purchase Order'!A15,'Product Catalog'!$G$4:$N$11,6,FALSE))</f>
      </c>
      <c r="K6" s="118" t="str">
        <f>IF(A6="","",VLOOKUP('Purchase Order'!A15,'Product Catalog'!$G$4:$N$11,5,FALSE))</f>
      </c>
      <c r="L6" s="118" t="str">
        <f>IF(A6="","",'Purchase Order'!G15)</f>
      </c>
      <c r="M6" s="118"/>
      <c r="N6" s="118"/>
      <c r="O6" s="118"/>
    </row>
    <row r="7">
      <c r="A7" s="118" t="str">
        <f>IF('Purchase Order'!A16="","",'Purchase Order'!B4)</f>
      </c>
      <c r="B7" s="118" t="str">
        <f>IF(A7="","",$O$2)</f>
      </c>
      <c r="C7" s="118" t="str">
        <f>IF(A7="","",'Purchase Order'!B6)</f>
      </c>
      <c r="D7" s="119" t="str">
        <f>IF(A7="","",'Purchase Order'!B5)</f>
      </c>
      <c r="E7" s="118" t="str">
        <f>IF(A7="","",'Purchase Order'!E4)</f>
      </c>
      <c r="F7" s="118" t="str">
        <f>IF(A7="","",VLOOKUP('Purchase Order'!A16,'Product Catalog'!$G$4:$N$11,2,FALSE))</f>
      </c>
      <c r="G7" s="118" t="str">
        <f>IF(A7="","",VLOOKUP('Purchase Order'!A16,'Product Catalog'!$G$4:$N$11,3,FALSE))</f>
      </c>
      <c r="H7" s="118" t="str">
        <f>IF(A7="","",'Purchase Order'!B16)</f>
      </c>
      <c r="I7" s="118" t="str">
        <f>IF(A7="","",LOWER('Purchase Order'!C16))</f>
      </c>
      <c r="J7" s="120" t="str">
        <f>IF(A7="","",VLOOKUP('Purchase Order'!A16,'Product Catalog'!$G$4:$N$11,6,FALSE))</f>
      </c>
      <c r="K7" s="118" t="str">
        <f>IF(A7="","",VLOOKUP('Purchase Order'!A16,'Product Catalog'!$G$4:$N$11,5,FALSE))</f>
      </c>
      <c r="L7" s="118" t="str">
        <f>IF(A7="","",'Purchase Order'!G16)</f>
      </c>
      <c r="M7" s="118"/>
      <c r="N7" s="118"/>
      <c r="O7" s="118"/>
    </row>
    <row r="8">
      <c r="A8" s="118" t="str">
        <f>IF('Purchase Order'!A17="","",'Purchase Order'!B4)</f>
      </c>
      <c r="B8" s="118" t="str">
        <f>IF(A8="","",$O$2)</f>
      </c>
      <c r="C8" s="118" t="str">
        <f>IF(A8="","",'Purchase Order'!B6)</f>
      </c>
      <c r="D8" s="119" t="str">
        <f>IF(A8="","",'Purchase Order'!B5)</f>
      </c>
      <c r="E8" s="118" t="str">
        <f>IF(A8="","",'Purchase Order'!E4)</f>
      </c>
      <c r="F8" s="118" t="str">
        <f>IF(A8="","",VLOOKUP('Purchase Order'!A17,'Product Catalog'!$G$4:$N$11,2,FALSE))</f>
      </c>
      <c r="G8" s="118" t="str">
        <f>IF(A8="","",VLOOKUP('Purchase Order'!A17,'Product Catalog'!$G$4:$N$11,3,FALSE))</f>
      </c>
      <c r="H8" s="118" t="str">
        <f>IF(A8="","",'Purchase Order'!B17)</f>
      </c>
      <c r="I8" s="118" t="str">
        <f>IF(A8="","",LOWER('Purchase Order'!C17))</f>
      </c>
      <c r="J8" s="120" t="str">
        <f>IF(A8="","",VLOOKUP('Purchase Order'!A17,'Product Catalog'!$G$4:$N$11,6,FALSE))</f>
      </c>
      <c r="K8" s="118" t="str">
        <f>IF(A8="","",VLOOKUP('Purchase Order'!A17,'Product Catalog'!$G$4:$N$11,5,FALSE))</f>
      </c>
      <c r="L8" s="118" t="str">
        <f>IF(A8="","",'Purchase Order'!G17)</f>
      </c>
      <c r="M8" s="118"/>
      <c r="N8" s="118"/>
      <c r="O8" s="118"/>
    </row>
    <row r="9">
      <c r="A9" s="118" t="str">
        <f>IF('Purchase Order'!A18="","",'Purchase Order'!B4)</f>
      </c>
      <c r="B9" s="118" t="str">
        <f>IF(A9="","",$O$2)</f>
      </c>
      <c r="C9" s="118" t="str">
        <f>IF(A9="","",'Purchase Order'!B6)</f>
      </c>
      <c r="D9" s="119" t="str">
        <f>IF(A9="","",'Purchase Order'!B5)</f>
      </c>
      <c r="E9" s="118" t="str">
        <f>IF(A9="","",'Purchase Order'!E4)</f>
      </c>
      <c r="F9" s="118" t="str">
        <f>IF(A9="","",VLOOKUP('Purchase Order'!A18,'Product Catalog'!$G$4:$N$11,2,FALSE))</f>
      </c>
      <c r="G9" s="118" t="str">
        <f>IF(A9="","",VLOOKUP('Purchase Order'!A18,'Product Catalog'!$G$4:$N$11,3,FALSE))</f>
      </c>
      <c r="H9" s="118" t="str">
        <f>IF(A9="","",'Purchase Order'!B18)</f>
      </c>
      <c r="I9" s="118" t="str">
        <f>IF(A9="","",LOWER('Purchase Order'!C18))</f>
      </c>
      <c r="J9" s="120" t="str">
        <f>IF(A9="","",VLOOKUP('Purchase Order'!A18,'Product Catalog'!$G$4:$N$11,6,FALSE))</f>
      </c>
      <c r="K9" s="118" t="str">
        <f>IF(A9="","",VLOOKUP('Purchase Order'!A18,'Product Catalog'!$G$4:$N$11,5,FALSE))</f>
      </c>
      <c r="L9" s="118" t="str">
        <f>IF(A9="","",'Purchase Order'!G18)</f>
      </c>
      <c r="M9" s="118"/>
      <c r="N9" s="118"/>
      <c r="O9" s="118"/>
    </row>
    <row r="10">
      <c r="A10" s="118" t="str">
        <f>IF('Purchase Order'!A19="","",'Purchase Order'!B4)</f>
      </c>
      <c r="B10" s="118" t="str">
        <f>IF(A10="","",$O$2)</f>
      </c>
      <c r="C10" s="118" t="str">
        <f>IF(A10="","",'Purchase Order'!B6)</f>
      </c>
      <c r="D10" s="119" t="str">
        <f>IF(A10="","",'Purchase Order'!B5)</f>
      </c>
      <c r="E10" s="118" t="str">
        <f>IF(A10="","",'Purchase Order'!E4)</f>
      </c>
      <c r="F10" s="118" t="str">
        <f>IF(A10="","",VLOOKUP('Purchase Order'!A19,'Product Catalog'!$G$4:$N$11,2,FALSE))</f>
      </c>
      <c r="G10" s="118" t="str">
        <f>IF(A10="","",VLOOKUP('Purchase Order'!A19,'Product Catalog'!$G$4:$N$11,3,FALSE))</f>
      </c>
      <c r="H10" s="118" t="str">
        <f>IF(A10="","",'Purchase Order'!B19)</f>
      </c>
      <c r="I10" s="118" t="str">
        <f>IF(A10="","",LOWER('Purchase Order'!C19))</f>
      </c>
      <c r="J10" s="120" t="str">
        <f>IF(A10="","",VLOOKUP('Purchase Order'!A19,'Product Catalog'!$G$4:$N$11,6,FALSE))</f>
      </c>
      <c r="K10" s="118" t="str">
        <f>IF(A10="","",VLOOKUP('Purchase Order'!A19,'Product Catalog'!$G$4:$N$11,5,FALSE))</f>
      </c>
      <c r="L10" s="118" t="str">
        <f>IF(A10="","",'Purchase Order'!G19)</f>
      </c>
      <c r="M10" s="118"/>
      <c r="N10" s="118"/>
      <c r="O10" s="118"/>
    </row>
    <row r="11">
      <c r="A11" s="118" t="str">
        <f>IF('Purchase Order'!A20="","",'Purchase Order'!B4)</f>
      </c>
      <c r="B11" s="118" t="str">
        <f>IF(A11="","",$O$2)</f>
      </c>
      <c r="C11" s="118" t="str">
        <f>IF(A11="","",'Purchase Order'!B6)</f>
      </c>
      <c r="D11" s="119" t="str">
        <f>IF(A11="","",'Purchase Order'!B5)</f>
      </c>
      <c r="E11" s="118" t="str">
        <f>IF(A11="","",'Purchase Order'!E4)</f>
      </c>
      <c r="F11" s="118" t="str">
        <f>IF(A11="","",VLOOKUP('Purchase Order'!A20,'Product Catalog'!$G$4:$N$11,2,FALSE))</f>
      </c>
      <c r="G11" s="118" t="str">
        <f>IF(A11="","",VLOOKUP('Purchase Order'!A20,'Product Catalog'!$G$4:$N$11,3,FALSE))</f>
      </c>
      <c r="H11" s="118" t="str">
        <f>IF(A11="","",'Purchase Order'!B20)</f>
      </c>
      <c r="I11" s="118" t="str">
        <f>IF(A11="","",LOWER('Purchase Order'!C20))</f>
      </c>
      <c r="J11" s="120" t="str">
        <f>IF(A11="","",VLOOKUP('Purchase Order'!A20,'Product Catalog'!$G$4:$N$11,6,FALSE))</f>
      </c>
      <c r="K11" s="118" t="str">
        <f>IF(A11="","",VLOOKUP('Purchase Order'!A20,'Product Catalog'!$G$4:$N$11,5,FALSE))</f>
      </c>
      <c r="L11" s="118" t="str">
        <f>IF(A11="","",'Purchase Order'!G20)</f>
      </c>
      <c r="M11" s="118"/>
      <c r="N11" s="118"/>
      <c r="O11" s="118"/>
    </row>
    <row r="12">
      <c r="A12" s="118" t="str">
        <f>IF('Purchase Order'!A21="","",'Purchase Order'!B4)</f>
      </c>
      <c r="B12" s="118" t="str">
        <f>IF(A12="","",$O$2)</f>
      </c>
      <c r="C12" s="118" t="str">
        <f>IF(A12="","",'Purchase Order'!B6)</f>
      </c>
      <c r="D12" s="119" t="str">
        <f>IF(A12="","",'Purchase Order'!B5)</f>
      </c>
      <c r="E12" s="118" t="str">
        <f>IF(A12="","",'Purchase Order'!E4)</f>
      </c>
      <c r="F12" s="118" t="str">
        <f>IF(A12="","",VLOOKUP('Purchase Order'!A21,'Product Catalog'!$G$4:$N$11,2,FALSE))</f>
      </c>
      <c r="G12" s="118" t="str">
        <f>IF(A12="","",VLOOKUP('Purchase Order'!A21,'Product Catalog'!$G$4:$N$11,3,FALSE))</f>
      </c>
      <c r="H12" s="118" t="str">
        <f>IF(A12="","",'Purchase Order'!B21)</f>
      </c>
      <c r="I12" s="118" t="str">
        <f>IF(A12="","",LOWER('Purchase Order'!C21))</f>
      </c>
      <c r="J12" s="120" t="str">
        <f>IF(A12="","",VLOOKUP('Purchase Order'!A21,'Product Catalog'!$G$4:$N$11,6,FALSE))</f>
      </c>
      <c r="K12" s="118" t="str">
        <f>IF(A12="","",VLOOKUP('Purchase Order'!A21,'Product Catalog'!$G$4:$N$11,5,FALSE))</f>
      </c>
      <c r="L12" s="118" t="str">
        <f>IF(A12="","",'Purchase Order'!G21)</f>
      </c>
      <c r="M12" s="118"/>
      <c r="N12" s="118"/>
      <c r="O12" s="118"/>
    </row>
    <row r="13">
      <c r="A13" s="118" t="str">
        <f>IF('Purchase Order'!A22="","",'Purchase Order'!B4)</f>
      </c>
      <c r="B13" s="118" t="str">
        <f>IF(A13="","",$O$2)</f>
      </c>
      <c r="C13" s="118" t="str">
        <f>IF(A13="","",'Purchase Order'!B6)</f>
      </c>
      <c r="D13" s="119" t="str">
        <f>IF(A13="","",'Purchase Order'!B5)</f>
      </c>
      <c r="E13" s="118" t="str">
        <f>IF(A13="","",'Purchase Order'!E4)</f>
      </c>
      <c r="F13" s="118" t="str">
        <f>IF(A13="","",VLOOKUP('Purchase Order'!A22,'Product Catalog'!$G$4:$N$11,2,FALSE))</f>
      </c>
      <c r="G13" s="118" t="str">
        <f>IF(A13="","",VLOOKUP('Purchase Order'!A22,'Product Catalog'!$G$4:$N$11,3,FALSE))</f>
      </c>
      <c r="H13" s="118" t="str">
        <f>IF(A13="","",'Purchase Order'!B22)</f>
      </c>
      <c r="I13" s="118" t="str">
        <f>IF(A13="","",LOWER('Purchase Order'!C22))</f>
      </c>
      <c r="J13" s="120" t="str">
        <f>IF(A13="","",VLOOKUP('Purchase Order'!A22,'Product Catalog'!$G$4:$N$11,6,FALSE))</f>
      </c>
      <c r="K13" s="118" t="str">
        <f>IF(A13="","",VLOOKUP('Purchase Order'!A22,'Product Catalog'!$G$4:$N$11,5,FALSE))</f>
      </c>
      <c r="L13" s="118" t="str">
        <f>IF(A13="","",'Purchase Order'!G22)</f>
      </c>
      <c r="M13" s="118"/>
      <c r="N13" s="118"/>
      <c r="O13" s="118"/>
    </row>
    <row r="14">
      <c r="A14" s="118" t="str">
        <f>IF('Purchase Order'!A23="","",'Purchase Order'!B4)</f>
      </c>
      <c r="B14" s="118" t="str">
        <f>IF(A14="","",$O$2)</f>
      </c>
      <c r="C14" s="118" t="str">
        <f>IF(A14="","",'Purchase Order'!B6)</f>
      </c>
      <c r="D14" s="119" t="str">
        <f>IF(A14="","",'Purchase Order'!B5)</f>
      </c>
      <c r="E14" s="118" t="str">
        <f>IF(A14="","",'Purchase Order'!E4)</f>
      </c>
      <c r="F14" s="118" t="str">
        <f>IF(A14="","",VLOOKUP('Purchase Order'!A23,'Product Catalog'!$G$4:$N$11,2,FALSE))</f>
      </c>
      <c r="G14" s="118" t="str">
        <f>IF(A14="","",VLOOKUP('Purchase Order'!A23,'Product Catalog'!$G$4:$N$11,3,FALSE))</f>
      </c>
      <c r="H14" s="118" t="str">
        <f>IF(A14="","",'Purchase Order'!B23)</f>
      </c>
      <c r="I14" s="118" t="str">
        <f>IF(A14="","",LOWER('Purchase Order'!C23))</f>
      </c>
      <c r="J14" s="120" t="str">
        <f>IF(A14="","",VLOOKUP('Purchase Order'!A23,'Product Catalog'!$G$4:$N$11,6,FALSE))</f>
      </c>
      <c r="K14" s="118" t="str">
        <f>IF(A14="","",VLOOKUP('Purchase Order'!A23,'Product Catalog'!$G$4:$N$11,5,FALSE))</f>
      </c>
      <c r="L14" s="118" t="str">
        <f>IF(A14="","",'Purchase Order'!G23)</f>
      </c>
      <c r="M14" s="118"/>
      <c r="N14" s="118"/>
      <c r="O14" s="118"/>
    </row>
    <row r="15">
      <c r="A15" s="118" t="str">
        <f>IF('Purchase Order'!A24="","",'Purchase Order'!B4)</f>
      </c>
      <c r="B15" s="118" t="str">
        <f>IF(A15="","",$O$2)</f>
      </c>
      <c r="C15" s="118" t="str">
        <f>IF(A15="","",'Purchase Order'!B6)</f>
      </c>
      <c r="D15" s="119" t="str">
        <f>IF(A15="","",'Purchase Order'!B5)</f>
      </c>
      <c r="E15" s="118" t="str">
        <f>IF(A15="","",'Purchase Order'!E4)</f>
      </c>
      <c r="F15" s="118" t="str">
        <f>IF(A15="","",VLOOKUP('Purchase Order'!A24,'Product Catalog'!$G$4:$N$11,2,FALSE))</f>
      </c>
      <c r="G15" s="118" t="str">
        <f>IF(A15="","",VLOOKUP('Purchase Order'!A24,'Product Catalog'!$G$4:$N$11,3,FALSE))</f>
      </c>
      <c r="H15" s="118" t="str">
        <f>IF(A15="","",'Purchase Order'!B24)</f>
      </c>
      <c r="I15" s="118" t="str">
        <f>IF(A15="","",LOWER('Purchase Order'!C24))</f>
      </c>
      <c r="J15" s="120" t="str">
        <f>IF(A15="","",VLOOKUP('Purchase Order'!A24,'Product Catalog'!$G$4:$N$11,6,FALSE))</f>
      </c>
      <c r="K15" s="118" t="str">
        <f>IF(A15="","",VLOOKUP('Purchase Order'!A24,'Product Catalog'!$G$4:$N$11,5,FALSE))</f>
      </c>
      <c r="L15" s="118" t="str">
        <f>IF(A15="","",'Purchase Order'!G24)</f>
      </c>
      <c r="M15" s="118"/>
      <c r="N15" s="118"/>
      <c r="O15" s="118"/>
    </row>
    <row r="16">
      <c r="A16" s="118" t="str">
        <f>IF('Purchase Order'!A25="","",'Purchase Order'!B4)</f>
      </c>
      <c r="B16" s="118" t="str">
        <f>IF(A16="","",$O$2)</f>
      </c>
      <c r="C16" s="118" t="str">
        <f>IF(A16="","",'Purchase Order'!B6)</f>
      </c>
      <c r="D16" s="119" t="str">
        <f>IF(A16="","",'Purchase Order'!B5)</f>
      </c>
      <c r="E16" s="118" t="str">
        <f>IF(A16="","",'Purchase Order'!E4)</f>
      </c>
      <c r="F16" s="118" t="str">
        <f>IF(A16="","",VLOOKUP('Purchase Order'!A25,'Product Catalog'!$G$4:$N$11,2,FALSE))</f>
      </c>
      <c r="G16" s="118" t="str">
        <f>IF(A16="","",VLOOKUP('Purchase Order'!A25,'Product Catalog'!$G$4:$N$11,3,FALSE))</f>
      </c>
      <c r="H16" s="118" t="str">
        <f>IF(A16="","",'Purchase Order'!B25)</f>
      </c>
      <c r="I16" s="118" t="str">
        <f>IF(A16="","",LOWER('Purchase Order'!C25))</f>
      </c>
      <c r="J16" s="120" t="str">
        <f>IF(A16="","",VLOOKUP('Purchase Order'!A25,'Product Catalog'!$G$4:$N$11,6,FALSE))</f>
      </c>
      <c r="K16" s="118" t="str">
        <f>IF(A16="","",VLOOKUP('Purchase Order'!A25,'Product Catalog'!$G$4:$N$11,5,FALSE))</f>
      </c>
      <c r="L16" s="118" t="str">
        <f>IF(A16="","",'Purchase Order'!G25)</f>
      </c>
      <c r="M16" s="118"/>
      <c r="N16" s="118"/>
      <c r="O16" s="118"/>
    </row>
  </sheetData>
  <pageMargins left="0.7" right="0.7" top="0.75" bottom="0.75" header="0.3" footer="0.3"/>
</worksheet>
</file>